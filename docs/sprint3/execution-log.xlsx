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 1" sheetId="1" state="visible" r:id="rId3"/>
    <sheet name="Environment" sheetId="2" state="visible" r:id="rId4"/>
    <sheet name="Defects" sheetId="3" state="visible" r:id="rId5"/>
    <sheet name="Summary" sheetId="4" state="visible" r:id="rId6"/>
  </sheets>
  <definedNames>
    <definedName function="false" hidden="true" localSheetId="0" name="_xlnm._FilterDatabase" vbProcedure="false">'Run 1'!$A$1:$H$32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Запропонований кейс: ще не внесений до test-cases.xlsx і не прорецензований.</t>
        </r>
      </text>
    </comment>
  </commentList>
</comments>
</file>

<file path=xl/sharedStrings.xml><?xml version="1.0" encoding="utf-8"?>
<sst xmlns="http://schemas.openxmlformats.org/spreadsheetml/2006/main" count="427" uniqueCount="210">
  <si>
    <t xml:space="preserve">Run</t>
  </si>
  <si>
    <t xml:space="preserve">TC-ID</t>
  </si>
  <si>
    <t xml:space="preserve">Дата</t>
  </si>
  <si>
    <t xml:space="preserve">Виконавець</t>
  </si>
  <si>
    <t xml:space="preserve">Середовище</t>
  </si>
  <si>
    <t xml:space="preserve">Статус</t>
  </si>
  <si>
    <t xml:space="preserve">Bug ID</t>
  </si>
  <si>
    <t xml:space="preserve">Коментар</t>
  </si>
  <si>
    <t xml:space="preserve">Run 1</t>
  </si>
  <si>
    <t xml:space="preserve">TC-001</t>
  </si>
  <si>
    <t xml:space="preserve">Бойко Є. (ІТ)</t>
  </si>
  <si>
    <t xml:space="preserve">E2</t>
  </si>
  <si>
    <t xml:space="preserve">passed</t>
  </si>
  <si>
    <t xml:space="preserve">Відхилення в даних: пароль «Abcde12!» із кейсу demo відхилило повідомленням «The given password has appeared in a data leak. Please choose a different password»; використано «Fbcdf12!» (8 символів, ті самі правила) — після цього усі очікувані результати збіглися. Дані кейсу потрібно замінити на пароль, якого немає в базі витоків.</t>
  </si>
  <si>
    <t xml:space="preserve">TC-002</t>
  </si>
  <si>
    <t xml:space="preserve">failed</t>
  </si>
  <si>
    <t xml:space="preserve">BUG-008</t>
  </si>
  <si>
    <t xml:space="preserve">Фактично: Крок 1: обов'язкові поля позначено зірочкою непослідовно — у «First name» і «Last name» зірочка лише в підказці всередині поля, у мітці її немає; у «Date of Birth» вона в мітці; біля «Password» зірочки немає ні в мітці, ні в підказці (U-20, F-10). Кроки 2–14 збіглися: форма не надіслана, адреса лишилась /auth/register, під полем «First name» є текстове повідомлення про помилку. Дефект: BUG-008.</t>
  </si>
  <si>
    <t xml:space="preserve">TC-003</t>
  </si>
  <si>
    <t xml:space="preserve">Усі очікувані результати збіглися.</t>
  </si>
  <si>
    <t xml:space="preserve">TC-004</t>
  </si>
  <si>
    <t xml:space="preserve">BUG-007</t>
  </si>
  <si>
    <t xml:space="preserve">Фактично: Крок 1: у шапці логотип «TOOLSHOP», а не «ШопЛайн» (GUI-10). Кроки 2–7 збіглися з очікуваним результатом. За рішенням команди еталоном є SRS (GUI-10), демо-назва «TOOLSHOP» — не еталон. Дефект: BUG-007.</t>
  </si>
  <si>
    <t xml:space="preserve">TC-005</t>
  </si>
  <si>
    <t xml:space="preserve">TC-006</t>
  </si>
  <si>
    <t xml:space="preserve">BUG-010</t>
  </si>
  <si>
    <t xml:space="preserve">Фактично: Крок 4: повідомлення з'явилося менше ніж за 60 с, але замість тексту про надсилання листа показано ключ перекладу «page.forgot-password.confirm» (F-30). Дефект: BUG-010.</t>
  </si>
  <si>
    <t xml:space="preserve">TC-007</t>
  </si>
  <si>
    <t xml:space="preserve">E1</t>
  </si>
  <si>
    <t xml:space="preserve">Крок 3 («2» у пагінації) виконано програмним кліком: перший клік мишею потрапив повз кнопку через масштаб вікна 1280×800; результат кліку — сторінка 2 з 9 іншими товарами. 27.10 у каталозі було 59 товарів (6 сторінок), після скидання даних demo 28.10 — 50 (за планом тестування), пагінація та сітка 3×3 однакові.</t>
  </si>
  <si>
    <t xml:space="preserve">TC-008</t>
  </si>
  <si>
    <t xml:space="preserve">До фільтрації 7 карток категорії Hammer, після додавання бренду — 6; на картці першого товару категорія Hammer, бренд ForgeFlex Tools.</t>
  </si>
  <si>
    <t xml:space="preserve">TC-009</t>
  </si>
  <si>
    <t xml:space="preserve">Повторне виконання 28.10.2026: 27.10 кейс був заблокований (у діапазоні 1–2 було 5 товарів від інших команд, у каталозі 59 товарів); після скидання даних demo в каталозі 50 товарів, найдешевший — 3.55. Крок 3 виконано перетягуванням правої позначки: підпис «1 – 2». Результат: 0 карток і текст «There are no products found.» (F-50).</t>
  </si>
  <si>
    <t xml:space="preserve">TC-010</t>
  </si>
  <si>
    <t xml:space="preserve">BUG-001</t>
  </si>
  <si>
    <t xml:space="preserve">Фактично: Крок 4: на запит 'hammer' показано 6 товарів («Claw Hammer with Shock Reduction Grip», «Hammer», «Claw Hammer», «Thor Hammer», «Claw Hammer with Fiberglass Handle», «Court Hammer»); «Sledgehammer», назва якого містить 'hammer', відсутній. Запит 'ham' повертає 7 товарів разом із «Sledgehammer», запит 'mmer' — жодного: результати не відповідають критерію «назва містить запит як підрядок». Заголовок «Searched for: hammer» відображається коректно. Відтворено повторно 28.10.2026 після скидання даних demo. Дефект: BUG-001.</t>
  </si>
  <si>
    <t xml:space="preserve">TC-011</t>
  </si>
  <si>
    <t xml:space="preserve">TC-012</t>
  </si>
  <si>
    <t xml:space="preserve">Крок 4 (перехід на сторінку 2) виконано програмним кліком; сортування збереглось, ціни не спадають на обох сторінках: 1.99…4.92 → 5.55…12.01.</t>
  </si>
  <si>
    <t xml:space="preserve">TC-013</t>
  </si>
  <si>
    <t xml:space="preserve">Склад сторінки за F-80 повний; Quantity 1 → 2 → 3 → 2.</t>
  </si>
  <si>
    <t xml:space="preserve">TC-014</t>
  </si>
  <si>
    <t xml:space="preserve">Кроки 1–4 виконано прямим переходом на сторінку товару. Поле «Quantity» при очищенні саме підставляє 1 (тому «очистити + ввести 99» дає «199»); значення вводилось поверх виділеного. 99 прийнято: лічильник кошика = 99, у кошику 99 шт., повідомлення «Product added to shopping cart.».</t>
  </si>
  <si>
    <t xml:space="preserve">TC-015</t>
  </si>
  <si>
    <t xml:space="preserve">BUG-003</t>
  </si>
  <si>
    <t xml:space="preserve">Фактично: Крок 6: після введення 0 поле «Quantity» саме змінилось на 1. Крок 7: товар додано у кількості 1, лічильник кошика = 1, повідомлення «Product added to shopping cart.»; жодного повідомлення про допустимий діапазон немає. Крок 8 (кошик): 1 × «Combination Pliers» замість порожнього кошика. Кроки 1–4 виконано прямим переходом на сторінку товару. Значення вводилось поверх виділеного (поле при очищенні саме підставляє 1; «очистити + 0» дає «10»). Дефект: BUG-003.</t>
  </si>
  <si>
    <t xml:space="preserve">TC-016</t>
  </si>
  <si>
    <t xml:space="preserve">Кроки 1–4 виконано прямим переходом на сторінку товару. Лічильник 2, потім 3; у кошику один рядок «Combination Pliers», кількість 3, сума 3 × 14.15 = 42.45.</t>
  </si>
  <si>
    <t xml:space="preserve">TC-017</t>
  </si>
  <si>
    <t xml:space="preserve">Рядок «Bolt Cutters»: 1 × 48.41 → після зміни на 5 сума рядка і «Total» = 242.05 (5 × 48.41); лічильник кошика = 5.</t>
  </si>
  <si>
    <t xml:space="preserve">TC-018</t>
  </si>
  <si>
    <t xml:space="preserve">Склад кошика за GUI-70 (Item, Quantity з полем, Price, Total, піктограма видалення, Total, «Proceed to checkout»). Після видалення: «The cart is empty. Nothing to display.», лічильник у шапці зник.</t>
  </si>
  <si>
    <t xml:space="preserve">TC-019</t>
  </si>
  <si>
    <t xml:space="preserve">BUG-011, BUG-012</t>
  </si>
  <si>
    <t xml:space="preserve">Фактично: Кроки 7–12: на кроці «Payment» у підсумку немає рядка вартості доставки (очікувалось 120,00 — F-110, BL-60) — BUG-012. Кроки 13–17: після «Check Payment» одразу показано «Payment was successful» (до підтвердження замовлення) і з'явилась кнопка «Confirm»; після «Confirm» помилок немає, але замовлення не підтверджено — повідомлення з номером рахунку-інвойсу не показано (F-110) — BUG-011. Відтворюваність BUG-011 нестабільна: у TC-029 цей крок спрацював («Thanks for your order! Your invoice number is INV-2026000030»). Скріншотів немає. Кроки кейсу не описують проміжну кнопку «Check Payment» — кейс потребує уточнення. Дефект: BUG-011, BUG-012.</t>
  </si>
  <si>
    <t xml:space="preserve">TC-020</t>
  </si>
  <si>
    <t xml:space="preserve">Усі очікувані результати збіглися; «Sheet Sander» видалено з обраного (стан спільного запису відновлено).</t>
  </si>
  <si>
    <t xml:space="preserve">TC-021</t>
  </si>
  <si>
    <t xml:space="preserve">BUG-013</t>
  </si>
  <si>
    <t xml:space="preserve">Фактично: Крок 6: таблиця має колонки «Invoice Number», «Billing Address», «Invoice Date», «Total» і кнопку «Details»; колонки зі статусом немає (F-130). Крок 7: сторінка деталей рахунку містить позиції і кнопку «Download PDF» — збіглося. Решта кроків збіглася. Дефект: BUG-013.</t>
  </si>
  <si>
    <t xml:space="preserve">TC-022</t>
  </si>
  <si>
    <t xml:space="preserve">BUG-005</t>
  </si>
  <si>
    <t xml:space="preserve">Фактично: Крок 8–9: файл teamb-1kb.txt (1024 байти, текстовий) вибрано; після «Send» звернення не надіслано: під полем вкладення — «File should be empty.»; під полем також підказка «Only files with the txt extension are allowed, and files must be 0kb.». Очікувалось: звернення надіслано, над формою — повідомлення про прийняття (F-140: .txt до 1 МБ). Файл у поле вкладення підставлено скриптом (DataTransfer, 1024 байти), а не через вікно вибору файлу ОС; решту полів уведено з клавіатури. У першій спробі, де й текст повідомлення підставлявся скриптом, додатково з'явилось «Message is required» — це артефакт підстановки, при реальному введенні його немає. Крок 8 бажано повторити вручну з реальним файлом 1 КБ. Дефект: BUG-005.</t>
  </si>
  <si>
    <t xml:space="preserve">TC-023</t>
  </si>
  <si>
    <t xml:space="preserve">Крок 7: під полем «Message» з'явилось «Message must be minimal 50 characters» (клас alert alert-danger); форму не надіслано, сторінка «Contact» лишилась. Довжину рядка перевірено програмно (49).</t>
  </si>
  <si>
    <t xml:space="preserve">TC-024</t>
  </si>
  <si>
    <t xml:space="preserve">Усі очікувані результати збіглися. Окреме спостереження (не за кроками кейсу): при наведенні на пункт «Sign out» курсор має вигляд текстового (виділення тексту), а не вказівного — у дефекти не заведено: вимоги SRS до вигляду курсора немає.</t>
  </si>
  <si>
    <t xml:space="preserve">TC-025</t>
  </si>
  <si>
    <t xml:space="preserve">BUG-004</t>
  </si>
  <si>
    <t xml:space="preserve">Фактично: Крок 3: за ширини 375 px горизонтальної прокрутки немає (scrollWidth = clientWidth = 375). Крок 4: меню відкривається (Home, Categories, Contact, Sign in, EN). Крок 5: розміри елементів — кнопка меню 56×40 px, пункти «Home», «Contact», «Sign in» — 351×40 px, «Categories» — 107.7×40 px (висота 40 &lt; 44); перша картка товару 327×376 px (норма). Виміряно за допомогою getBoundingClientRect у вбудованому браузері з емуляцією 375×812 (мобільний пресет, Android UA) замість DevTools Inspect; результат еквівалентний. Дефект: BUG-004.</t>
  </si>
  <si>
    <t xml:space="preserve">TC-026</t>
  </si>
  <si>
    <t xml:space="preserve">BUG-009</t>
  </si>
  <si>
    <t xml:space="preserve">Фактично: Кроки 13–14: пароль «Abcde1!» (7 символів) відхилено, але повідомлення «Password must be minimal 6 characters long.» називає межу 6 символів, що суперечить правилу «Be at least 8 characters long» на цій самій сторінці (F-10); повідомлення виведено в блоці між індикатором надійності й кнопкою «Register», а не безпосередньо під полем (GUI-50). Дефект: BUG-009.</t>
  </si>
  <si>
    <t xml:space="preserve">TC-027</t>
  </si>
  <si>
    <t xml:space="preserve">Рядок довжиною рівно 50 символів (перевірено програмно). Крок 7: форма замінилась на «Thanks for your message! We will contact you shortly.» (клас alert-success) над блоком футера; помилок немає. Це реальне надсилання на demo з тестовим email example.com.</t>
  </si>
  <si>
    <t xml:space="preserve">TC-028</t>
  </si>
  <si>
    <t xml:space="preserve">Пошук «Sheet Sander» → 1 товар; на сторінці товару є «Add to favourites»; після натискання з'явилось спливаюче повідомлення «Unauthorized, can not add product to your favorite list.» (кінцева крапка в тексті — як на demo). Знімок одразу після запиту пошуку показував проміжний (старий) список; через 1,5 с список = 1 товар.</t>
  </si>
  <si>
    <t xml:space="preserve">TC-029</t>
  </si>
  <si>
    <t xml:space="preserve">Рахунок покупця TeamB-А: INV-2026000030. Усі очікувані результати збіглися: у списку рахунків TeamB-Б його немає.</t>
  </si>
  <si>
    <t xml:space="preserve">TC-030</t>
  </si>
  <si>
    <t xml:space="preserve">BUG-002</t>
  </si>
  <si>
    <t xml:space="preserve">Фактично: Крок 6: після введення 100 поле «Quantity» саме змінилось на 99. Крок 7: товар додано у кількості 99, лічильник кошика = 99, повідомлення «Product added to shopping cart. You can order at most 99 of this product.». Крок 8: у кошику «Combination Pliers» 99 × 14.15 = 1400.85 (очікувалось: кошик порожній). Кроки 1–4 виконано прямим переходом на сторінку товару. Значення вводилось поверх виділеного (поле при очищенні саме підставляє 1). Дефект: BUG-002.</t>
  </si>
  <si>
    <t xml:space="preserve">TC-031</t>
  </si>
  <si>
    <t xml:space="preserve">BUG-006</t>
  </si>
  <si>
    <t xml:space="preserve">Фактично: Крок 8: після повторного додавання 5 шт. (при 99 у кошику) лічильник кошика = 104, повідомлення про межу немає. Крок 9: один рядок «Combination Pliers», Quantity 104, Total $1,471.60 (очікувалось: сумарна кількість ≤ 99). Кейс запропоновано за результатами дослідницької перевірки (docs/sprint3/proposed-test-case-TC-031.md): його ще немає в test-cases.xlsx, потрібні рецензія і оновлення «Coverage» (BL-20, F-100). Для порівняння: зміна кількості в рядку кошика до 100 коректно обмежується 99 з повідомленням «You can order at most 99 of this product.». Дефект: BUG-006.</t>
  </si>
  <si>
    <t xml:space="preserve">ID</t>
  </si>
  <si>
    <t xml:space="preserve">Адреса demo</t>
  </si>
  <si>
    <t xml:space="preserve">Браузер і версії</t>
  </si>
  <si>
    <t xml:space="preserve">ОС</t>
  </si>
  <si>
    <t xml:space="preserve">Вікно / режим</t>
  </si>
  <si>
    <t xml:space="preserve">Облікові записи</t>
  </si>
  <si>
    <t xml:space="preserve">Примітка</t>
  </si>
  <si>
    <t xml:space="preserve">https://practicesoftwaretesting.com (збірка v2.5, Built 2026-10-11, Angular 20.0.5; у футері demo)</t>
  </si>
  <si>
    <t xml:space="preserve">27–28.10.2026</t>
  </si>
  <si>
    <t xml:space="preserve">Chromium 152.0.7977.167 — вбудований браузер десктопного застосунку</t>
  </si>
  <si>
    <t xml:space="preserve">Windows 10/11 (NT 10.0, 64-bit)</t>
  </si>
  <si>
    <t xml:space="preserve">Вікно 1280×800 (емуляція вікна); TC-025 — 375×812 (мобільний пресет, Android user agent)</t>
  </si>
  <si>
    <t xml:space="preserve">Без входу в обліковий запис (гостьовий режим); входи в акаунти не виконувались</t>
  </si>
  <si>
    <t xml:space="preserve">Відхилення від плану: у кейсах — Chrome 120+ в інкогніто, тут — Chromium 152 без інкогніто; між кейсами очищалися sessionStorage/localStorage.Дані demo скинулись між 27.10 і 28.10: каталог 59 → 50 товарів, зникли «чужі» товари за $1.99 (TC-009 повторно виконано 28.10). У TC-022 файл у поле вкладення підставлено скриптом (1024 байти), а не вікном вибору файлу ОС.</t>
  </si>
  <si>
    <t xml:space="preserve">https://practicesoftwaretesting.com (збірка v2.5)</t>
  </si>
  <si>
    <t xml:space="preserve">28.10.2026</t>
  </si>
  <si>
    <t xml:space="preserve">Google Chrome 156.0.8078.73 (Official Build, 64-bit); V8 15.6.75.25</t>
  </si>
  <si>
    <t xml:space="preserve">Windows 11 25H2 (Build 26200.9711)</t>
  </si>
  <si>
    <t xml:space="preserve">Розмір вікна і режим інкогніто виконавцем не зафіксовано (за планом: інкогніто, 1280×800)</t>
  </si>
  <si>
    <t xml:space="preserve">customer@practicesoftwaretesting.com (спільний запис demo); власні записи teamb.*@example.com, створені в кейсах TC-001, TC-006, TC-029</t>
  </si>
  <si>
    <t xml:space="preserve">Середовище кейсів, виконаних ІТ вручну (облікові записи, реєстрація, оформлення замовлення): TC-001…006, 019…021, 024, 026, 029. У TC-001 пароль із кейсу замінено на «Fbcdf12!» (оригінал відхилено як такий, що трапився у витоку даних).</t>
  </si>
  <si>
    <t xml:space="preserve">Smoke-перевірка demo перед прогоном (5.1)</t>
  </si>
  <si>
    <t xml:space="preserve">Перевірка</t>
  </si>
  <si>
    <t xml:space="preserve">Результат</t>
  </si>
  <si>
    <t xml:space="preserve">Головна сторінка відкривається, каталог показує 9 карток</t>
  </si>
  <si>
    <t xml:space="preserve">так (збірка v2.5, Built 2026-10-11)</t>
  </si>
  <si>
    <t xml:space="preserve">27.10.2026</t>
  </si>
  <si>
    <t xml:space="preserve">Пошук повертає результати; сторінка товару відкривається</t>
  </si>
  <si>
    <t xml:space="preserve">так</t>
  </si>
  <si>
    <t xml:space="preserve">Додавання в кошик і крок «Cart» працюють</t>
  </si>
  <si>
    <t xml:space="preserve">Контактна форма відкривається і приймає дані</t>
  </si>
  <si>
    <t xml:space="preserve">Вхід тестовим обліковим записом (customer@practicesoftwaretesting.com)</t>
  </si>
  <si>
    <t xml:space="preserve">так (TC-004, TC-019…021, TC-024)</t>
  </si>
  <si>
    <t xml:space="preserve">Заголовок</t>
  </si>
  <si>
    <t xml:space="preserve">Severity</t>
  </si>
  <si>
    <t xml:space="preserve">Priority</t>
  </si>
  <si>
    <t xml:space="preserve">Кейс</t>
  </si>
  <si>
    <t xml:space="preserve">Вимога</t>
  </si>
  <si>
    <t xml:space="preserve">Reporter</t>
  </si>
  <si>
    <t xml:space="preserve">Файл звіту</t>
  </si>
  <si>
    <t xml:space="preserve">Кейсів у Run 1 з цим Bug ID</t>
  </si>
  <si>
    <t xml:space="preserve">Пошук 'hammer' не знаходить «Sledgehammer»: збіг шукається не за підрядком</t>
  </si>
  <si>
    <t xml:space="preserve">Major</t>
  </si>
  <si>
    <t xml:space="preserve">P3</t>
  </si>
  <si>
    <t xml:space="preserve">F-60</t>
  </si>
  <si>
    <t xml:space="preserve">New</t>
  </si>
  <si>
    <t xml:space="preserve">docs/sprint3/bug-reports/BUG-001.md</t>
  </si>
  <si>
    <t xml:space="preserve">Кількість 100 у полі Quantity замінюється на 99, і товар додається в кошик</t>
  </si>
  <si>
    <t xml:space="preserve">Minor</t>
  </si>
  <si>
    <t xml:space="preserve">GUI-30, BL-10</t>
  </si>
  <si>
    <t xml:space="preserve">docs/sprint3/bug-reports/BUG-002.md</t>
  </si>
  <si>
    <t xml:space="preserve">Кількість 0 замінюється на 1, і товар додається в кошик без повідомлення про діапазон</t>
  </si>
  <si>
    <t xml:space="preserve">Normal</t>
  </si>
  <si>
    <t xml:space="preserve">docs/sprint3/bug-reports/BUG-003.md</t>
  </si>
  <si>
    <t xml:space="preserve">Меню на ширині 375 px: кнопка меню 56×40, пункти меню заввишки 40 px (&lt; 44×44)</t>
  </si>
  <si>
    <t xml:space="preserve">U-30</t>
  </si>
  <si>
    <t xml:space="preserve">docs/sprint3/bug-reports/BUG-004.md</t>
  </si>
  <si>
    <t xml:space="preserve">Контактна форма відхиляє будь-який непорожній .txt («File should be empty.»), F-140 допускає до 1 МБ</t>
  </si>
  <si>
    <t xml:space="preserve">F-140, GUI-90</t>
  </si>
  <si>
    <t xml:space="preserve">docs/sprint3/bug-reports/BUG-005.md</t>
  </si>
  <si>
    <t xml:space="preserve">Кошик: повторне «Add to cart» дає в рядку 104 шт. — понад межу 99</t>
  </si>
  <si>
    <t xml:space="preserve">BL-20, F-100</t>
  </si>
  <si>
    <t xml:space="preserve">docs/sprint3/bug-reports/BUG-006.md</t>
  </si>
  <si>
    <t xml:space="preserve">Шапка: логотип «TOOLSHOP» замість «ШопЛайн»</t>
  </si>
  <si>
    <t xml:space="preserve">Trivial</t>
  </si>
  <si>
    <t xml:space="preserve">GUI-10</t>
  </si>
  <si>
    <t xml:space="preserve">docs/sprint3/bug-reports/BUG-007.md</t>
  </si>
  <si>
    <t xml:space="preserve">Форма реєстрації: зірочка біля обов'язкових полів стоїть непослідовно, біля «Password» її немає</t>
  </si>
  <si>
    <t xml:space="preserve">U-20, F-10</t>
  </si>
  <si>
    <t xml:space="preserve">docs/sprint3/bug-reports/BUG-008.md</t>
  </si>
  <si>
    <t xml:space="preserve">Пароль із 7 символів відхиляється повідомленням «minimal 6 characters», що суперечить правилу «мінімум 8»</t>
  </si>
  <si>
    <t xml:space="preserve">F-10, GUI-50</t>
  </si>
  <si>
    <t xml:space="preserve">docs/sprint3/bug-reports/BUG-009.md</t>
  </si>
  <si>
    <t xml:space="preserve">Відновлення пароля: замість тексту повідомлення показано ключ «page.forgot-password.confirm»</t>
  </si>
  <si>
    <t xml:space="preserve">F-30</t>
  </si>
  <si>
    <t xml:space="preserve">docs/sprint3/bug-reports/BUG-010.md</t>
  </si>
  <si>
    <t xml:space="preserve">BUG-011</t>
  </si>
  <si>
    <t xml:space="preserve">Bank Transfer: після «Check Payment» і «Confirm» замовлення не підтверджується (нестабільно, 1 із 2 проходжень)</t>
  </si>
  <si>
    <t xml:space="preserve">F-110</t>
  </si>
  <si>
    <t xml:space="preserve">docs/sprint3/bug-reports/BUG-011.md</t>
  </si>
  <si>
    <t xml:space="preserve">BUG-012</t>
  </si>
  <si>
    <t xml:space="preserve">Крок «Payment»: підсумок замовлення не містить вартості доставки</t>
  </si>
  <si>
    <t xml:space="preserve">F-110, BL-60</t>
  </si>
  <si>
    <t xml:space="preserve">docs/sprint3/bug-reports/BUG-012.md</t>
  </si>
  <si>
    <t xml:space="preserve">«My invoices»: у таблиці рахунків немає колонки «статус»</t>
  </si>
  <si>
    <t xml:space="preserve">F-130</t>
  </si>
  <si>
    <t xml:space="preserve">docs/sprint3/bug-reports/BUG-013.md</t>
  </si>
  <si>
    <t xml:space="preserve">Спринт 3 · П1 «ШопЛайн» · Run 1 — зведення (усі значення — формули за аркушами «Run 1» і «Defects»)</t>
  </si>
  <si>
    <t xml:space="preserve">Показник</t>
  </si>
  <si>
    <t xml:space="preserve">Значення</t>
  </si>
  <si>
    <t xml:space="preserve">Кейсів у журналі</t>
  </si>
  <si>
    <t xml:space="preserve">Кейсів із внесеним статусом</t>
  </si>
  <si>
    <t xml:space="preserve">Кейсів без статусу (очікують виконання)</t>
  </si>
  <si>
    <t xml:space="preserve">blocked</t>
  </si>
  <si>
    <t xml:space="preserve">skipped</t>
  </si>
  <si>
    <t xml:space="preserve">Дефектів у реєстрі</t>
  </si>
  <si>
    <t xml:space="preserve">Дефекти за Severity</t>
  </si>
  <si>
    <t xml:space="preserve">Кількість</t>
  </si>
  <si>
    <t xml:space="preserve">Blocker</t>
  </si>
  <si>
    <t xml:space="preserve">Critical</t>
  </si>
  <si>
    <t xml:space="preserve">Використано рівнів Severity</t>
  </si>
  <si>
    <t xml:space="preserve">Дефекти за Priority</t>
  </si>
  <si>
    <t xml:space="preserve">P1</t>
  </si>
  <si>
    <t xml:space="preserve">P2</t>
  </si>
  <si>
    <t xml:space="preserve">Перевірки цілісності</t>
  </si>
  <si>
    <t xml:space="preserve">Очікується</t>
  </si>
  <si>
    <t xml:space="preserve">failed-кейси без Bug ID</t>
  </si>
  <si>
    <t xml:space="preserve">0</t>
  </si>
  <si>
    <t xml:space="preserve">Згадки Bug ID у журналі без запису в реєстрі «Defects»</t>
  </si>
  <si>
    <t xml:space="preserve">Дефекти реєстру, яких немає у журналі (кейс не прив'язано)</t>
  </si>
  <si>
    <t xml:space="preserve">Кейси blocked без пояснення в коментарі</t>
  </si>
  <si>
    <t xml:space="preserve">Кейси зі статусом, але без дати або виконавця</t>
  </si>
  <si>
    <t xml:space="preserve">Норматив команди (5 осіб)</t>
  </si>
  <si>
    <t xml:space="preserve">Фактично</t>
  </si>
  <si>
    <t xml:space="preserve">Стан</t>
  </si>
  <si>
    <t xml:space="preserve">Тест-кейсів</t>
  </si>
  <si>
    <t xml:space="preserve">Звітів про дефекти</t>
  </si>
  <si>
    <t xml:space="preserve">Рівнів Severity</t>
  </si>
  <si>
    <t xml:space="preserve">Легенда</t>
  </si>
  <si>
    <t xml:space="preserve">Усі 31 рядок аркуша «Run 1» мають статус, дату, виконавця й середовище; кожен failed — Bug ID зі звіту (реєстр на аркуші «Defects»).</t>
  </si>
  <si>
    <t xml:space="preserve">Середовища: E1 — вбудований браузер Chromium (кейси без входу в обліковий запис, 27–28.10.2026), E2 — Google Chrome (кейси з обліковими записами, 28.10.2026); деталі — на аркуші «Environment».</t>
  </si>
  <si>
    <t xml:space="preserve">Рядок TC-031 (сірий) — запропонований кейс (див. proposed-test-case-TC-031.md), ще не внесений до test-cases.xlsx і не прорецензований.</t>
  </si>
  <si>
    <t xml:space="preserve">BUG-011 нестабільний (1 із 2 проходжень), BUG-011 і BUG-012 без скріншотів: потребують повторного відтворення зі знімком.</t>
  </si>
  <si>
    <t xml:space="preserve">Після кожної зміни статусів перевірте блок «Перевірки цілісності»: усі значення мають бути 0.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</si>
</sst>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1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s">
        <v>8</v>
      </c>
      <c r="B2" s="2" t="s">
        <v>9</v>
      </c>
      <c r="C2" s="3" t="n">
        <v>46323</v>
      </c>
      <c r="D2" s="4" t="s">
        <v>10</v>
      </c>
      <c r="E2" s="2" t="s">
        <v>11</v>
      </c>
      <c r="F2" s="2" t="s">
        <v>12</v>
      </c>
      <c r="G2" s="2"/>
      <c r="H2" s="4" t="s">
        <v>13</v>
      </c>
    </row>
    <row r="3" customFormat="false" ht="46.25" hidden="false" customHeight="false" outlineLevel="0" collapsed="false">
      <c r="A3" s="2" t="s">
        <v>8</v>
      </c>
      <c r="B3" s="2" t="s">
        <v>14</v>
      </c>
      <c r="C3" s="3" t="n">
        <v>46323</v>
      </c>
      <c r="D3" s="4" t="s">
        <v>10</v>
      </c>
      <c r="E3" s="2" t="s">
        <v>11</v>
      </c>
      <c r="F3" s="2" t="s">
        <v>15</v>
      </c>
      <c r="G3" s="2" t="s">
        <v>16</v>
      </c>
      <c r="H3" s="4" t="s">
        <v>17</v>
      </c>
    </row>
    <row r="4" customFormat="false" ht="15" hidden="false" customHeight="false" outlineLevel="0" collapsed="false">
      <c r="A4" s="2" t="s">
        <v>8</v>
      </c>
      <c r="B4" s="2" t="s">
        <v>18</v>
      </c>
      <c r="C4" s="3" t="n">
        <v>46323</v>
      </c>
      <c r="D4" s="4" t="s">
        <v>10</v>
      </c>
      <c r="E4" s="2" t="s">
        <v>11</v>
      </c>
      <c r="F4" s="2" t="s">
        <v>12</v>
      </c>
      <c r="G4" s="2"/>
      <c r="H4" s="4" t="s">
        <v>19</v>
      </c>
    </row>
    <row r="5" customFormat="false" ht="23.85" hidden="false" customHeight="false" outlineLevel="0" collapsed="false">
      <c r="A5" s="2" t="s">
        <v>8</v>
      </c>
      <c r="B5" s="2" t="s">
        <v>20</v>
      </c>
      <c r="C5" s="3" t="n">
        <v>46323</v>
      </c>
      <c r="D5" s="4" t="s">
        <v>10</v>
      </c>
      <c r="E5" s="2" t="s">
        <v>11</v>
      </c>
      <c r="F5" s="2" t="s">
        <v>15</v>
      </c>
      <c r="G5" s="2" t="s">
        <v>21</v>
      </c>
      <c r="H5" s="4" t="s">
        <v>22</v>
      </c>
    </row>
    <row r="6" customFormat="false" ht="15" hidden="false" customHeight="false" outlineLevel="0" collapsed="false">
      <c r="A6" s="2" t="s">
        <v>8</v>
      </c>
      <c r="B6" s="2" t="s">
        <v>23</v>
      </c>
      <c r="C6" s="3" t="n">
        <v>46323</v>
      </c>
      <c r="D6" s="4" t="s">
        <v>10</v>
      </c>
      <c r="E6" s="2" t="s">
        <v>11</v>
      </c>
      <c r="F6" s="2" t="s">
        <v>12</v>
      </c>
      <c r="G6" s="2"/>
      <c r="H6" s="4" t="s">
        <v>19</v>
      </c>
    </row>
    <row r="7" customFormat="false" ht="23.85" hidden="false" customHeight="false" outlineLevel="0" collapsed="false">
      <c r="A7" s="2" t="s">
        <v>8</v>
      </c>
      <c r="B7" s="2" t="s">
        <v>24</v>
      </c>
      <c r="C7" s="3" t="n">
        <v>46323</v>
      </c>
      <c r="D7" s="4" t="s">
        <v>10</v>
      </c>
      <c r="E7" s="2" t="s">
        <v>11</v>
      </c>
      <c r="F7" s="2" t="s">
        <v>15</v>
      </c>
      <c r="G7" s="2" t="s">
        <v>25</v>
      </c>
      <c r="H7" s="4" t="s">
        <v>26</v>
      </c>
    </row>
    <row r="8" customFormat="false" ht="35.05" hidden="false" customHeight="false" outlineLevel="0" collapsed="false">
      <c r="A8" s="2" t="s">
        <v>8</v>
      </c>
      <c r="B8" s="2" t="s">
        <v>27</v>
      </c>
      <c r="C8" s="3" t="n">
        <v>46322</v>
      </c>
      <c r="D8" s="4" t="s">
        <v>10</v>
      </c>
      <c r="E8" s="2" t="s">
        <v>28</v>
      </c>
      <c r="F8" s="2" t="s">
        <v>12</v>
      </c>
      <c r="G8" s="2"/>
      <c r="H8" s="4" t="s">
        <v>29</v>
      </c>
    </row>
    <row r="9" customFormat="false" ht="23.85" hidden="false" customHeight="false" outlineLevel="0" collapsed="false">
      <c r="A9" s="2" t="s">
        <v>8</v>
      </c>
      <c r="B9" s="2" t="s">
        <v>30</v>
      </c>
      <c r="C9" s="3" t="n">
        <v>46322</v>
      </c>
      <c r="D9" s="4" t="s">
        <v>10</v>
      </c>
      <c r="E9" s="2" t="s">
        <v>28</v>
      </c>
      <c r="F9" s="2" t="s">
        <v>12</v>
      </c>
      <c r="G9" s="2"/>
      <c r="H9" s="4" t="s">
        <v>31</v>
      </c>
    </row>
    <row r="10" customFormat="false" ht="35.05" hidden="false" customHeight="false" outlineLevel="0" collapsed="false">
      <c r="A10" s="2" t="s">
        <v>8</v>
      </c>
      <c r="B10" s="2" t="s">
        <v>32</v>
      </c>
      <c r="C10" s="3" t="n">
        <v>46323</v>
      </c>
      <c r="D10" s="4" t="s">
        <v>10</v>
      </c>
      <c r="E10" s="2" t="s">
        <v>28</v>
      </c>
      <c r="F10" s="2" t="s">
        <v>12</v>
      </c>
      <c r="G10" s="2"/>
      <c r="H10" s="4" t="s">
        <v>33</v>
      </c>
    </row>
    <row r="11" customFormat="false" ht="57.45" hidden="false" customHeight="false" outlineLevel="0" collapsed="false">
      <c r="A11" s="2" t="s">
        <v>8</v>
      </c>
      <c r="B11" s="2" t="s">
        <v>34</v>
      </c>
      <c r="C11" s="3" t="n">
        <v>46322</v>
      </c>
      <c r="D11" s="4" t="s">
        <v>10</v>
      </c>
      <c r="E11" s="2" t="s">
        <v>28</v>
      </c>
      <c r="F11" s="2" t="s">
        <v>15</v>
      </c>
      <c r="G11" s="2" t="s">
        <v>35</v>
      </c>
      <c r="H11" s="4" t="s">
        <v>36</v>
      </c>
    </row>
    <row r="12" customFormat="false" ht="15" hidden="false" customHeight="false" outlineLevel="0" collapsed="false">
      <c r="A12" s="2" t="s">
        <v>8</v>
      </c>
      <c r="B12" s="2" t="s">
        <v>37</v>
      </c>
      <c r="C12" s="3" t="n">
        <v>46322</v>
      </c>
      <c r="D12" s="4" t="s">
        <v>10</v>
      </c>
      <c r="E12" s="2" t="s">
        <v>28</v>
      </c>
      <c r="F12" s="2" t="s">
        <v>12</v>
      </c>
      <c r="G12" s="2"/>
      <c r="H12" s="4"/>
    </row>
    <row r="13" customFormat="false" ht="23.85" hidden="false" customHeight="false" outlineLevel="0" collapsed="false">
      <c r="A13" s="2" t="s">
        <v>8</v>
      </c>
      <c r="B13" s="2" t="s">
        <v>38</v>
      </c>
      <c r="C13" s="3" t="n">
        <v>46322</v>
      </c>
      <c r="D13" s="4" t="s">
        <v>10</v>
      </c>
      <c r="E13" s="2" t="s">
        <v>28</v>
      </c>
      <c r="F13" s="2" t="s">
        <v>12</v>
      </c>
      <c r="G13" s="2"/>
      <c r="H13" s="4" t="s">
        <v>39</v>
      </c>
    </row>
    <row r="14" customFormat="false" ht="15" hidden="false" customHeight="false" outlineLevel="0" collapsed="false">
      <c r="A14" s="2" t="s">
        <v>8</v>
      </c>
      <c r="B14" s="2" t="s">
        <v>40</v>
      </c>
      <c r="C14" s="3" t="n">
        <v>46322</v>
      </c>
      <c r="D14" s="4" t="s">
        <v>10</v>
      </c>
      <c r="E14" s="2" t="s">
        <v>28</v>
      </c>
      <c r="F14" s="2" t="s">
        <v>12</v>
      </c>
      <c r="G14" s="2"/>
      <c r="H14" s="4" t="s">
        <v>41</v>
      </c>
    </row>
    <row r="15" customFormat="false" ht="35.05" hidden="false" customHeight="false" outlineLevel="0" collapsed="false">
      <c r="A15" s="2" t="s">
        <v>8</v>
      </c>
      <c r="B15" s="2" t="s">
        <v>42</v>
      </c>
      <c r="C15" s="3" t="n">
        <v>46322</v>
      </c>
      <c r="D15" s="4" t="s">
        <v>10</v>
      </c>
      <c r="E15" s="2" t="s">
        <v>28</v>
      </c>
      <c r="F15" s="2" t="s">
        <v>12</v>
      </c>
      <c r="G15" s="2"/>
      <c r="H15" s="4" t="s">
        <v>43</v>
      </c>
    </row>
    <row r="16" customFormat="false" ht="46.25" hidden="false" customHeight="false" outlineLevel="0" collapsed="false">
      <c r="A16" s="2" t="s">
        <v>8</v>
      </c>
      <c r="B16" s="2" t="s">
        <v>44</v>
      </c>
      <c r="C16" s="3" t="n">
        <v>46322</v>
      </c>
      <c r="D16" s="4" t="s">
        <v>10</v>
      </c>
      <c r="E16" s="2" t="s">
        <v>28</v>
      </c>
      <c r="F16" s="2" t="s">
        <v>15</v>
      </c>
      <c r="G16" s="2" t="s">
        <v>45</v>
      </c>
      <c r="H16" s="4" t="s">
        <v>46</v>
      </c>
    </row>
    <row r="17" customFormat="false" ht="23.85" hidden="false" customHeight="false" outlineLevel="0" collapsed="false">
      <c r="A17" s="2" t="s">
        <v>8</v>
      </c>
      <c r="B17" s="2" t="s">
        <v>47</v>
      </c>
      <c r="C17" s="3" t="n">
        <v>46322</v>
      </c>
      <c r="D17" s="4" t="s">
        <v>10</v>
      </c>
      <c r="E17" s="2" t="s">
        <v>28</v>
      </c>
      <c r="F17" s="2" t="s">
        <v>12</v>
      </c>
      <c r="G17" s="2"/>
      <c r="H17" s="4" t="s">
        <v>48</v>
      </c>
    </row>
    <row r="18" customFormat="false" ht="15" hidden="false" customHeight="false" outlineLevel="0" collapsed="false">
      <c r="A18" s="2" t="s">
        <v>8</v>
      </c>
      <c r="B18" s="2" t="s">
        <v>49</v>
      </c>
      <c r="C18" s="3" t="n">
        <v>46322</v>
      </c>
      <c r="D18" s="4" t="s">
        <v>10</v>
      </c>
      <c r="E18" s="2" t="s">
        <v>28</v>
      </c>
      <c r="F18" s="2" t="s">
        <v>12</v>
      </c>
      <c r="G18" s="2"/>
      <c r="H18" s="4" t="s">
        <v>50</v>
      </c>
    </row>
    <row r="19" customFormat="false" ht="23.85" hidden="false" customHeight="false" outlineLevel="0" collapsed="false">
      <c r="A19" s="2" t="s">
        <v>8</v>
      </c>
      <c r="B19" s="2" t="s">
        <v>51</v>
      </c>
      <c r="C19" s="3" t="n">
        <v>46322</v>
      </c>
      <c r="D19" s="4" t="s">
        <v>10</v>
      </c>
      <c r="E19" s="2" t="s">
        <v>28</v>
      </c>
      <c r="F19" s="2" t="s">
        <v>12</v>
      </c>
      <c r="G19" s="2"/>
      <c r="H19" s="4" t="s">
        <v>52</v>
      </c>
    </row>
    <row r="20" customFormat="false" ht="68.65" hidden="false" customHeight="false" outlineLevel="0" collapsed="false">
      <c r="A20" s="2" t="s">
        <v>8</v>
      </c>
      <c r="B20" s="2" t="s">
        <v>53</v>
      </c>
      <c r="C20" s="3" t="n">
        <v>46323</v>
      </c>
      <c r="D20" s="4" t="s">
        <v>10</v>
      </c>
      <c r="E20" s="2" t="s">
        <v>11</v>
      </c>
      <c r="F20" s="2" t="s">
        <v>15</v>
      </c>
      <c r="G20" s="2" t="s">
        <v>54</v>
      </c>
      <c r="H20" s="4" t="s">
        <v>55</v>
      </c>
    </row>
    <row r="21" customFormat="false" ht="15" hidden="false" customHeight="false" outlineLevel="0" collapsed="false">
      <c r="A21" s="2" t="s">
        <v>8</v>
      </c>
      <c r="B21" s="2" t="s">
        <v>56</v>
      </c>
      <c r="C21" s="3" t="n">
        <v>46323</v>
      </c>
      <c r="D21" s="4" t="s">
        <v>10</v>
      </c>
      <c r="E21" s="2" t="s">
        <v>11</v>
      </c>
      <c r="F21" s="2" t="s">
        <v>12</v>
      </c>
      <c r="G21" s="2"/>
      <c r="H21" s="4" t="s">
        <v>57</v>
      </c>
    </row>
    <row r="22" customFormat="false" ht="35.05" hidden="false" customHeight="false" outlineLevel="0" collapsed="false">
      <c r="A22" s="2" t="s">
        <v>8</v>
      </c>
      <c r="B22" s="2" t="s">
        <v>58</v>
      </c>
      <c r="C22" s="3" t="n">
        <v>46323</v>
      </c>
      <c r="D22" s="4" t="s">
        <v>10</v>
      </c>
      <c r="E22" s="2" t="s">
        <v>11</v>
      </c>
      <c r="F22" s="2" t="s">
        <v>15</v>
      </c>
      <c r="G22" s="2" t="s">
        <v>59</v>
      </c>
      <c r="H22" s="4" t="s">
        <v>60</v>
      </c>
    </row>
    <row r="23" customFormat="false" ht="68.65" hidden="false" customHeight="false" outlineLevel="0" collapsed="false">
      <c r="A23" s="2" t="s">
        <v>8</v>
      </c>
      <c r="B23" s="2" t="s">
        <v>61</v>
      </c>
      <c r="C23" s="3" t="n">
        <v>46323</v>
      </c>
      <c r="D23" s="4" t="s">
        <v>10</v>
      </c>
      <c r="E23" s="2" t="s">
        <v>28</v>
      </c>
      <c r="F23" s="2" t="s">
        <v>15</v>
      </c>
      <c r="G23" s="2" t="s">
        <v>62</v>
      </c>
      <c r="H23" s="4" t="s">
        <v>63</v>
      </c>
    </row>
    <row r="24" customFormat="false" ht="23.85" hidden="false" customHeight="false" outlineLevel="0" collapsed="false">
      <c r="A24" s="2" t="s">
        <v>8</v>
      </c>
      <c r="B24" s="2" t="s">
        <v>64</v>
      </c>
      <c r="C24" s="3" t="n">
        <v>46322</v>
      </c>
      <c r="D24" s="4" t="s">
        <v>10</v>
      </c>
      <c r="E24" s="2" t="s">
        <v>28</v>
      </c>
      <c r="F24" s="2" t="s">
        <v>12</v>
      </c>
      <c r="G24" s="2"/>
      <c r="H24" s="4" t="s">
        <v>65</v>
      </c>
    </row>
    <row r="25" customFormat="false" ht="23.85" hidden="false" customHeight="false" outlineLevel="0" collapsed="false">
      <c r="A25" s="2" t="s">
        <v>8</v>
      </c>
      <c r="B25" s="2" t="s">
        <v>66</v>
      </c>
      <c r="C25" s="3" t="n">
        <v>46323</v>
      </c>
      <c r="D25" s="4" t="s">
        <v>10</v>
      </c>
      <c r="E25" s="2" t="s">
        <v>11</v>
      </c>
      <c r="F25" s="2" t="s">
        <v>12</v>
      </c>
      <c r="G25" s="2"/>
      <c r="H25" s="4" t="s">
        <v>67</v>
      </c>
    </row>
    <row r="26" customFormat="false" ht="57.45" hidden="false" customHeight="false" outlineLevel="0" collapsed="false">
      <c r="A26" s="2" t="s">
        <v>8</v>
      </c>
      <c r="B26" s="2" t="s">
        <v>68</v>
      </c>
      <c r="C26" s="3" t="n">
        <v>46322</v>
      </c>
      <c r="D26" s="4" t="s">
        <v>10</v>
      </c>
      <c r="E26" s="2" t="s">
        <v>28</v>
      </c>
      <c r="F26" s="2" t="s">
        <v>15</v>
      </c>
      <c r="G26" s="2" t="s">
        <v>69</v>
      </c>
      <c r="H26" s="4" t="s">
        <v>70</v>
      </c>
    </row>
    <row r="27" customFormat="false" ht="35.05" hidden="false" customHeight="false" outlineLevel="0" collapsed="false">
      <c r="A27" s="2" t="s">
        <v>8</v>
      </c>
      <c r="B27" s="2" t="s">
        <v>71</v>
      </c>
      <c r="C27" s="3" t="n">
        <v>46323</v>
      </c>
      <c r="D27" s="4" t="s">
        <v>10</v>
      </c>
      <c r="E27" s="2" t="s">
        <v>11</v>
      </c>
      <c r="F27" s="2" t="s">
        <v>15</v>
      </c>
      <c r="G27" s="2" t="s">
        <v>72</v>
      </c>
      <c r="H27" s="4" t="s">
        <v>73</v>
      </c>
    </row>
    <row r="28" customFormat="false" ht="35.05" hidden="false" customHeight="false" outlineLevel="0" collapsed="false">
      <c r="A28" s="2" t="s">
        <v>8</v>
      </c>
      <c r="B28" s="2" t="s">
        <v>74</v>
      </c>
      <c r="C28" s="3" t="n">
        <v>46322</v>
      </c>
      <c r="D28" s="4" t="s">
        <v>10</v>
      </c>
      <c r="E28" s="2" t="s">
        <v>28</v>
      </c>
      <c r="F28" s="2" t="s">
        <v>12</v>
      </c>
      <c r="G28" s="2"/>
      <c r="H28" s="4" t="s">
        <v>75</v>
      </c>
    </row>
    <row r="29" customFormat="false" ht="35.05" hidden="false" customHeight="false" outlineLevel="0" collapsed="false">
      <c r="A29" s="2" t="s">
        <v>8</v>
      </c>
      <c r="B29" s="2" t="s">
        <v>76</v>
      </c>
      <c r="C29" s="3" t="n">
        <v>46322</v>
      </c>
      <c r="D29" s="4" t="s">
        <v>10</v>
      </c>
      <c r="E29" s="2" t="s">
        <v>28</v>
      </c>
      <c r="F29" s="2" t="s">
        <v>12</v>
      </c>
      <c r="G29" s="2"/>
      <c r="H29" s="4" t="s">
        <v>77</v>
      </c>
    </row>
    <row r="30" customFormat="false" ht="15" hidden="false" customHeight="false" outlineLevel="0" collapsed="false">
      <c r="A30" s="2" t="s">
        <v>8</v>
      </c>
      <c r="B30" s="2" t="s">
        <v>78</v>
      </c>
      <c r="C30" s="3" t="n">
        <v>46323</v>
      </c>
      <c r="D30" s="4" t="s">
        <v>10</v>
      </c>
      <c r="E30" s="2" t="s">
        <v>11</v>
      </c>
      <c r="F30" s="2" t="s">
        <v>12</v>
      </c>
      <c r="G30" s="2"/>
      <c r="H30" s="4" t="s">
        <v>79</v>
      </c>
    </row>
    <row r="31" customFormat="false" ht="46.25" hidden="false" customHeight="false" outlineLevel="0" collapsed="false">
      <c r="A31" s="2" t="s">
        <v>8</v>
      </c>
      <c r="B31" s="2" t="s">
        <v>80</v>
      </c>
      <c r="C31" s="3" t="n">
        <v>46322</v>
      </c>
      <c r="D31" s="4" t="s">
        <v>10</v>
      </c>
      <c r="E31" s="2" t="s">
        <v>28</v>
      </c>
      <c r="F31" s="2" t="s">
        <v>15</v>
      </c>
      <c r="G31" s="2" t="s">
        <v>81</v>
      </c>
      <c r="H31" s="4" t="s">
        <v>82</v>
      </c>
    </row>
    <row r="32" customFormat="false" ht="57.45" hidden="false" customHeight="false" outlineLevel="0" collapsed="false">
      <c r="A32" s="5" t="s">
        <v>8</v>
      </c>
      <c r="B32" s="5" t="s">
        <v>83</v>
      </c>
      <c r="C32" s="6" t="n">
        <v>46323</v>
      </c>
      <c r="D32" s="7" t="s">
        <v>10</v>
      </c>
      <c r="E32" s="5" t="s">
        <v>28</v>
      </c>
      <c r="F32" s="5" t="s">
        <v>15</v>
      </c>
      <c r="G32" s="5" t="s">
        <v>84</v>
      </c>
      <c r="H32" s="7" t="s">
        <v>85</v>
      </c>
    </row>
  </sheetData>
  <autoFilter ref="A1:H32"/>
  <conditionalFormatting sqref="F2:F32">
    <cfRule type="cellIs" priority="2" operator="equal" aboveAverage="0" equalAverage="0" bottom="0" percent="0" rank="0" text="" dxfId="6">
      <formula>"passed"</formula>
    </cfRule>
    <cfRule type="cellIs" priority="3" operator="equal" aboveAverage="0" equalAverage="0" bottom="0" percent="0" rank="0" text="" dxfId="7">
      <formula>"failed"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"skipped"</formula>
    </cfRule>
  </conditionalFormatting>
  <dataValidations count="1">
    <dataValidation allowBlank="true" error="Дозволені значення: passed, failed, blocked, skipped" errorStyle="stop" errorTitle="Статус" operator="between" showDropDown="false" showErrorMessage="true" showInputMessage="false" sqref="F2:F32" type="list">
      <formula1>"passed,failed,blocked,skipped"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80"/>
  </cols>
  <sheetData>
    <row r="1" customFormat="false" ht="15" hidden="false" customHeight="false" outlineLevel="0" collapsed="false">
      <c r="A1" s="1" t="s">
        <v>86</v>
      </c>
      <c r="B1" s="1" t="s">
        <v>87</v>
      </c>
      <c r="C1" s="1" t="s">
        <v>2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customFormat="false" ht="57.45" hidden="false" customHeight="false" outlineLevel="0" collapsed="false">
      <c r="A2" s="4" t="s">
        <v>28</v>
      </c>
      <c r="B2" s="4" t="s">
        <v>93</v>
      </c>
      <c r="C2" s="4" t="s">
        <v>94</v>
      </c>
      <c r="D2" s="4" t="s">
        <v>95</v>
      </c>
      <c r="E2" s="4" t="s">
        <v>96</v>
      </c>
      <c r="F2" s="4" t="s">
        <v>97</v>
      </c>
      <c r="G2" s="4" t="s">
        <v>98</v>
      </c>
      <c r="H2" s="4" t="s">
        <v>99</v>
      </c>
    </row>
    <row r="3" customFormat="false" ht="35.05" hidden="false" customHeight="false" outlineLevel="0" collapsed="false">
      <c r="A3" s="4" t="s">
        <v>11</v>
      </c>
      <c r="B3" s="4" t="s">
        <v>100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</row>
    <row r="5" customFormat="false" ht="15" hidden="false" customHeight="false" outlineLevel="0" collapsed="false">
      <c r="A5" s="8" t="s">
        <v>107</v>
      </c>
    </row>
    <row r="6" customFormat="false" ht="15" hidden="false" customHeight="false" outlineLevel="0" collapsed="false">
      <c r="B6" s="1" t="s">
        <v>108</v>
      </c>
      <c r="C6" s="1" t="s">
        <v>109</v>
      </c>
      <c r="D6" s="1" t="s">
        <v>2</v>
      </c>
    </row>
    <row r="7" customFormat="false" ht="23.85" hidden="false" customHeight="false" outlineLevel="0" collapsed="false">
      <c r="B7" s="4" t="s">
        <v>110</v>
      </c>
      <c r="C7" s="4" t="s">
        <v>111</v>
      </c>
      <c r="D7" s="4" t="s">
        <v>112</v>
      </c>
    </row>
    <row r="8" customFormat="false" ht="23.85" hidden="false" customHeight="false" outlineLevel="0" collapsed="false">
      <c r="B8" s="4" t="s">
        <v>113</v>
      </c>
      <c r="C8" s="4" t="s">
        <v>114</v>
      </c>
      <c r="D8" s="4" t="s">
        <v>112</v>
      </c>
    </row>
    <row r="9" customFormat="false" ht="15" hidden="false" customHeight="false" outlineLevel="0" collapsed="false">
      <c r="B9" s="4" t="s">
        <v>115</v>
      </c>
      <c r="C9" s="4" t="s">
        <v>114</v>
      </c>
      <c r="D9" s="4" t="s">
        <v>112</v>
      </c>
    </row>
    <row r="10" customFormat="false" ht="23.85" hidden="false" customHeight="false" outlineLevel="0" collapsed="false">
      <c r="B10" s="4" t="s">
        <v>116</v>
      </c>
      <c r="C10" s="4" t="s">
        <v>114</v>
      </c>
      <c r="D10" s="4" t="s">
        <v>112</v>
      </c>
    </row>
    <row r="11" customFormat="false" ht="23.85" hidden="false" customHeight="false" outlineLevel="0" collapsed="false">
      <c r="B11" s="4" t="s">
        <v>117</v>
      </c>
      <c r="C11" s="4" t="s">
        <v>118</v>
      </c>
      <c r="D11" s="4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38"/>
    <col collapsed="false" customWidth="true" hidden="false" outlineLevel="0" max="11" min="11" style="0" width="14"/>
  </cols>
  <sheetData>
    <row r="1" customFormat="false" ht="23.85" hidden="false" customHeight="false" outlineLevel="0" collapsed="false">
      <c r="A1" s="1" t="s">
        <v>6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5</v>
      </c>
      <c r="H1" s="1" t="s">
        <v>124</v>
      </c>
      <c r="I1" s="1" t="s">
        <v>2</v>
      </c>
      <c r="J1" s="1" t="s">
        <v>125</v>
      </c>
      <c r="K1" s="1" t="s">
        <v>126</v>
      </c>
    </row>
    <row r="2" customFormat="false" ht="15" hidden="false" customHeight="false" outlineLevel="0" collapsed="false">
      <c r="A2" s="2" t="s">
        <v>35</v>
      </c>
      <c r="B2" s="4" t="s">
        <v>127</v>
      </c>
      <c r="C2" s="2" t="s">
        <v>128</v>
      </c>
      <c r="D2" s="2" t="s">
        <v>129</v>
      </c>
      <c r="E2" s="2" t="s">
        <v>34</v>
      </c>
      <c r="F2" s="4" t="s">
        <v>130</v>
      </c>
      <c r="G2" s="2" t="s">
        <v>131</v>
      </c>
      <c r="H2" s="4" t="s">
        <v>10</v>
      </c>
      <c r="I2" s="3" t="n">
        <v>46322</v>
      </c>
      <c r="J2" s="4" t="s">
        <v>132</v>
      </c>
      <c r="K2" s="2" t="n">
        <f aca="false">COUNTIF('Run 1'!$G$2:$G$32,"*"&amp;A2&amp;"*")</f>
        <v>1</v>
      </c>
    </row>
    <row r="3" customFormat="false" ht="15" hidden="false" customHeight="false" outlineLevel="0" collapsed="false">
      <c r="A3" s="2" t="s">
        <v>81</v>
      </c>
      <c r="B3" s="4" t="s">
        <v>133</v>
      </c>
      <c r="C3" s="2" t="s">
        <v>134</v>
      </c>
      <c r="D3" s="2" t="s">
        <v>129</v>
      </c>
      <c r="E3" s="2" t="s">
        <v>80</v>
      </c>
      <c r="F3" s="4" t="s">
        <v>135</v>
      </c>
      <c r="G3" s="2" t="s">
        <v>131</v>
      </c>
      <c r="H3" s="4" t="s">
        <v>10</v>
      </c>
      <c r="I3" s="3" t="n">
        <v>46322</v>
      </c>
      <c r="J3" s="4" t="s">
        <v>136</v>
      </c>
      <c r="K3" s="2" t="n">
        <f aca="false">COUNTIF('Run 1'!$G$2:$G$32,"*"&amp;A3&amp;"*")</f>
        <v>1</v>
      </c>
    </row>
    <row r="4" customFormat="false" ht="23.85" hidden="false" customHeight="false" outlineLevel="0" collapsed="false">
      <c r="A4" s="2" t="s">
        <v>45</v>
      </c>
      <c r="B4" s="4" t="s">
        <v>137</v>
      </c>
      <c r="C4" s="2" t="s">
        <v>138</v>
      </c>
      <c r="D4" s="2" t="s">
        <v>129</v>
      </c>
      <c r="E4" s="2" t="s">
        <v>44</v>
      </c>
      <c r="F4" s="4" t="s">
        <v>135</v>
      </c>
      <c r="G4" s="2" t="s">
        <v>131</v>
      </c>
      <c r="H4" s="4" t="s">
        <v>10</v>
      </c>
      <c r="I4" s="3" t="n">
        <v>46322</v>
      </c>
      <c r="J4" s="4" t="s">
        <v>139</v>
      </c>
      <c r="K4" s="2" t="n">
        <f aca="false">COUNTIF('Run 1'!$G$2:$G$32,"*"&amp;A4&amp;"*")</f>
        <v>1</v>
      </c>
    </row>
    <row r="5" customFormat="false" ht="23.85" hidden="false" customHeight="false" outlineLevel="0" collapsed="false">
      <c r="A5" s="2" t="s">
        <v>69</v>
      </c>
      <c r="B5" s="4" t="s">
        <v>140</v>
      </c>
      <c r="C5" s="2" t="s">
        <v>134</v>
      </c>
      <c r="D5" s="2" t="s">
        <v>129</v>
      </c>
      <c r="E5" s="2" t="s">
        <v>68</v>
      </c>
      <c r="F5" s="4" t="s">
        <v>141</v>
      </c>
      <c r="G5" s="2" t="s">
        <v>131</v>
      </c>
      <c r="H5" s="4" t="s">
        <v>10</v>
      </c>
      <c r="I5" s="3" t="n">
        <v>46322</v>
      </c>
      <c r="J5" s="4" t="s">
        <v>142</v>
      </c>
      <c r="K5" s="2" t="n">
        <f aca="false">COUNTIF('Run 1'!$G$2:$G$32,"*"&amp;A5&amp;"*")</f>
        <v>1</v>
      </c>
    </row>
    <row r="6" customFormat="false" ht="23.85" hidden="false" customHeight="false" outlineLevel="0" collapsed="false">
      <c r="A6" s="2" t="s">
        <v>62</v>
      </c>
      <c r="B6" s="4" t="s">
        <v>143</v>
      </c>
      <c r="C6" s="2" t="s">
        <v>138</v>
      </c>
      <c r="D6" s="2" t="s">
        <v>129</v>
      </c>
      <c r="E6" s="2" t="s">
        <v>61</v>
      </c>
      <c r="F6" s="4" t="s">
        <v>144</v>
      </c>
      <c r="G6" s="2" t="s">
        <v>131</v>
      </c>
      <c r="H6" s="4" t="s">
        <v>10</v>
      </c>
      <c r="I6" s="3" t="n">
        <v>46323</v>
      </c>
      <c r="J6" s="4" t="s">
        <v>145</v>
      </c>
      <c r="K6" s="2" t="n">
        <f aca="false">COUNTIF('Run 1'!$G$2:$G$32,"*"&amp;A6&amp;"*")</f>
        <v>1</v>
      </c>
    </row>
    <row r="7" customFormat="false" ht="15" hidden="false" customHeight="false" outlineLevel="0" collapsed="false">
      <c r="A7" s="2" t="s">
        <v>84</v>
      </c>
      <c r="B7" s="4" t="s">
        <v>146</v>
      </c>
      <c r="C7" s="2" t="s">
        <v>128</v>
      </c>
      <c r="D7" s="2" t="s">
        <v>129</v>
      </c>
      <c r="E7" s="2" t="s">
        <v>83</v>
      </c>
      <c r="F7" s="4" t="s">
        <v>147</v>
      </c>
      <c r="G7" s="2" t="s">
        <v>131</v>
      </c>
      <c r="H7" s="4" t="s">
        <v>10</v>
      </c>
      <c r="I7" s="3" t="n">
        <v>46323</v>
      </c>
      <c r="J7" s="4" t="s">
        <v>148</v>
      </c>
      <c r="K7" s="2" t="n">
        <f aca="false">COUNTIF('Run 1'!$G$2:$G$32,"*"&amp;A7&amp;"*")</f>
        <v>1</v>
      </c>
    </row>
    <row r="8" customFormat="false" ht="15" hidden="false" customHeight="false" outlineLevel="0" collapsed="false">
      <c r="A8" s="2" t="s">
        <v>21</v>
      </c>
      <c r="B8" s="4" t="s">
        <v>149</v>
      </c>
      <c r="C8" s="2" t="s">
        <v>150</v>
      </c>
      <c r="D8" s="2" t="s">
        <v>129</v>
      </c>
      <c r="E8" s="2" t="s">
        <v>20</v>
      </c>
      <c r="F8" s="4" t="s">
        <v>151</v>
      </c>
      <c r="G8" s="2" t="s">
        <v>131</v>
      </c>
      <c r="H8" s="4" t="s">
        <v>10</v>
      </c>
      <c r="I8" s="3" t="n">
        <v>46323</v>
      </c>
      <c r="J8" s="4" t="s">
        <v>152</v>
      </c>
      <c r="K8" s="2" t="n">
        <f aca="false">COUNTIF('Run 1'!$G$2:$G$32,"*"&amp;A8&amp;"*")</f>
        <v>1</v>
      </c>
    </row>
    <row r="9" customFormat="false" ht="23.85" hidden="false" customHeight="false" outlineLevel="0" collapsed="false">
      <c r="A9" s="2" t="s">
        <v>16</v>
      </c>
      <c r="B9" s="4" t="s">
        <v>153</v>
      </c>
      <c r="C9" s="2" t="s">
        <v>134</v>
      </c>
      <c r="D9" s="2" t="s">
        <v>129</v>
      </c>
      <c r="E9" s="2" t="s">
        <v>14</v>
      </c>
      <c r="F9" s="4" t="s">
        <v>154</v>
      </c>
      <c r="G9" s="2" t="s">
        <v>131</v>
      </c>
      <c r="H9" s="4" t="s">
        <v>10</v>
      </c>
      <c r="I9" s="3" t="n">
        <v>46323</v>
      </c>
      <c r="J9" s="4" t="s">
        <v>155</v>
      </c>
      <c r="K9" s="2" t="n">
        <f aca="false">COUNTIF('Run 1'!$G$2:$G$32,"*"&amp;A9&amp;"*")</f>
        <v>1</v>
      </c>
    </row>
    <row r="10" customFormat="false" ht="23.85" hidden="false" customHeight="false" outlineLevel="0" collapsed="false">
      <c r="A10" s="2" t="s">
        <v>72</v>
      </c>
      <c r="B10" s="4" t="s">
        <v>156</v>
      </c>
      <c r="C10" s="2" t="s">
        <v>138</v>
      </c>
      <c r="D10" s="2" t="s">
        <v>129</v>
      </c>
      <c r="E10" s="2" t="s">
        <v>71</v>
      </c>
      <c r="F10" s="4" t="s">
        <v>157</v>
      </c>
      <c r="G10" s="2" t="s">
        <v>131</v>
      </c>
      <c r="H10" s="4" t="s">
        <v>10</v>
      </c>
      <c r="I10" s="3" t="n">
        <v>46323</v>
      </c>
      <c r="J10" s="4" t="s">
        <v>158</v>
      </c>
      <c r="K10" s="2" t="n">
        <f aca="false">COUNTIF('Run 1'!$G$2:$G$32,"*"&amp;A10&amp;"*")</f>
        <v>1</v>
      </c>
    </row>
    <row r="11" customFormat="false" ht="23.85" hidden="false" customHeight="false" outlineLevel="0" collapsed="false">
      <c r="A11" s="2" t="s">
        <v>25</v>
      </c>
      <c r="B11" s="4" t="s">
        <v>159</v>
      </c>
      <c r="C11" s="2" t="s">
        <v>138</v>
      </c>
      <c r="D11" s="2" t="s">
        <v>129</v>
      </c>
      <c r="E11" s="2" t="s">
        <v>24</v>
      </c>
      <c r="F11" s="4" t="s">
        <v>160</v>
      </c>
      <c r="G11" s="2" t="s">
        <v>131</v>
      </c>
      <c r="H11" s="4" t="s">
        <v>10</v>
      </c>
      <c r="I11" s="3" t="n">
        <v>46323</v>
      </c>
      <c r="J11" s="4" t="s">
        <v>161</v>
      </c>
      <c r="K11" s="2" t="n">
        <f aca="false">COUNTIF('Run 1'!$G$2:$G$32,"*"&amp;A11&amp;"*")</f>
        <v>1</v>
      </c>
    </row>
    <row r="12" customFormat="false" ht="23.85" hidden="false" customHeight="false" outlineLevel="0" collapsed="false">
      <c r="A12" s="2" t="s">
        <v>162</v>
      </c>
      <c r="B12" s="4" t="s">
        <v>163</v>
      </c>
      <c r="C12" s="2" t="s">
        <v>128</v>
      </c>
      <c r="D12" s="2" t="s">
        <v>129</v>
      </c>
      <c r="E12" s="2" t="s">
        <v>53</v>
      </c>
      <c r="F12" s="4" t="s">
        <v>164</v>
      </c>
      <c r="G12" s="2" t="s">
        <v>131</v>
      </c>
      <c r="H12" s="4" t="s">
        <v>10</v>
      </c>
      <c r="I12" s="3" t="n">
        <v>46323</v>
      </c>
      <c r="J12" s="4" t="s">
        <v>165</v>
      </c>
      <c r="K12" s="2" t="n">
        <f aca="false">COUNTIF('Run 1'!$G$2:$G$32,"*"&amp;A12&amp;"*")</f>
        <v>1</v>
      </c>
    </row>
    <row r="13" customFormat="false" ht="15" hidden="false" customHeight="false" outlineLevel="0" collapsed="false">
      <c r="A13" s="2" t="s">
        <v>166</v>
      </c>
      <c r="B13" s="4" t="s">
        <v>167</v>
      </c>
      <c r="C13" s="2" t="s">
        <v>138</v>
      </c>
      <c r="D13" s="2" t="s">
        <v>129</v>
      </c>
      <c r="E13" s="2" t="s">
        <v>53</v>
      </c>
      <c r="F13" s="4" t="s">
        <v>168</v>
      </c>
      <c r="G13" s="2" t="s">
        <v>131</v>
      </c>
      <c r="H13" s="4" t="s">
        <v>10</v>
      </c>
      <c r="I13" s="3" t="n">
        <v>46323</v>
      </c>
      <c r="J13" s="4" t="s">
        <v>169</v>
      </c>
      <c r="K13" s="2" t="n">
        <f aca="false">COUNTIF('Run 1'!$G$2:$G$32,"*"&amp;A13&amp;"*")</f>
        <v>1</v>
      </c>
    </row>
    <row r="14" customFormat="false" ht="15" hidden="false" customHeight="false" outlineLevel="0" collapsed="false">
      <c r="A14" s="2" t="s">
        <v>59</v>
      </c>
      <c r="B14" s="4" t="s">
        <v>170</v>
      </c>
      <c r="C14" s="2" t="s">
        <v>134</v>
      </c>
      <c r="D14" s="2" t="s">
        <v>129</v>
      </c>
      <c r="E14" s="2" t="s">
        <v>58</v>
      </c>
      <c r="F14" s="4" t="s">
        <v>171</v>
      </c>
      <c r="G14" s="2" t="s">
        <v>131</v>
      </c>
      <c r="H14" s="4" t="s">
        <v>10</v>
      </c>
      <c r="I14" s="3" t="n">
        <v>46323</v>
      </c>
      <c r="J14" s="4" t="s">
        <v>172</v>
      </c>
      <c r="K14" s="2" t="n">
        <f aca="false">COUNTIF('Run 1'!$G$2:$G$32,"*"&amp;A14&amp;"*")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15" hidden="false" customHeight="true" outlineLevel="0" collapsed="false">
      <c r="A1" s="9" t="s">
        <v>173</v>
      </c>
      <c r="B1" s="9"/>
      <c r="C1" s="9"/>
      <c r="D1" s="9"/>
    </row>
    <row r="2" customFormat="false" ht="15" hidden="false" customHeight="false" outlineLevel="0" collapsed="false">
      <c r="A2" s="10" t="s">
        <v>174</v>
      </c>
      <c r="B2" s="10" t="s">
        <v>175</v>
      </c>
    </row>
    <row r="3" customFormat="false" ht="15" hidden="false" customHeight="false" outlineLevel="0" collapsed="false">
      <c r="A3" s="11" t="s">
        <v>176</v>
      </c>
      <c r="B3" s="12" t="n">
        <f aca="false">COUNTA('Run 1'!B2:B32)</f>
        <v>31</v>
      </c>
    </row>
    <row r="4" customFormat="false" ht="15" hidden="false" customHeight="false" outlineLevel="0" collapsed="false">
      <c r="A4" s="11" t="s">
        <v>177</v>
      </c>
      <c r="B4" s="12" t="n">
        <f aca="false">COUNTA('Run 1'!F2:F32)</f>
        <v>31</v>
      </c>
    </row>
    <row r="5" customFormat="false" ht="15" hidden="false" customHeight="false" outlineLevel="0" collapsed="false">
      <c r="A5" s="11" t="s">
        <v>178</v>
      </c>
      <c r="B5" s="12" t="n">
        <f aca="false">B3-B4</f>
        <v>0</v>
      </c>
    </row>
    <row r="6" customFormat="false" ht="15" hidden="false" customHeight="false" outlineLevel="0" collapsed="false">
      <c r="A6" s="11" t="s">
        <v>12</v>
      </c>
      <c r="B6" s="12" t="n">
        <f aca="false">COUNTIF('Run 1'!F2:F32,"passed")</f>
        <v>19</v>
      </c>
    </row>
    <row r="7" customFormat="false" ht="15" hidden="false" customHeight="false" outlineLevel="0" collapsed="false">
      <c r="A7" s="11" t="s">
        <v>15</v>
      </c>
      <c r="B7" s="12" t="n">
        <f aca="false">COUNTIF('Run 1'!F2:F32,"failed")</f>
        <v>12</v>
      </c>
    </row>
    <row r="8" customFormat="false" ht="15" hidden="false" customHeight="false" outlineLevel="0" collapsed="false">
      <c r="A8" s="11" t="s">
        <v>179</v>
      </c>
      <c r="B8" s="12" t="n">
        <f aca="false">COUNTIF('Run 1'!F2:F32,"blocked")</f>
        <v>0</v>
      </c>
    </row>
    <row r="9" customFormat="false" ht="15" hidden="false" customHeight="false" outlineLevel="0" collapsed="false">
      <c r="A9" s="11" t="s">
        <v>180</v>
      </c>
      <c r="B9" s="12" t="n">
        <f aca="false">COUNTIF('Run 1'!F2:F32,"skipped")</f>
        <v>0</v>
      </c>
    </row>
    <row r="10" customFormat="false" ht="15" hidden="false" customHeight="false" outlineLevel="0" collapsed="false">
      <c r="A10" s="11" t="s">
        <v>181</v>
      </c>
      <c r="B10" s="12" t="n">
        <f aca="false">COUNTA(Defects!A2:A30)</f>
        <v>13</v>
      </c>
    </row>
    <row r="11" customFormat="false" ht="15" hidden="false" customHeight="false" outlineLevel="0" collapsed="false">
      <c r="B11" s="13"/>
    </row>
    <row r="12" customFormat="false" ht="15" hidden="false" customHeight="false" outlineLevel="0" collapsed="false">
      <c r="A12" s="10" t="s">
        <v>182</v>
      </c>
      <c r="B12" s="14" t="s">
        <v>183</v>
      </c>
    </row>
    <row r="13" customFormat="false" ht="15" hidden="false" customHeight="false" outlineLevel="0" collapsed="false">
      <c r="A13" s="11" t="s">
        <v>184</v>
      </c>
      <c r="B13" s="12" t="n">
        <f aca="false">COUNTIF(Defects!C2:C30,A13)</f>
        <v>0</v>
      </c>
    </row>
    <row r="14" customFormat="false" ht="15" hidden="false" customHeight="false" outlineLevel="0" collapsed="false">
      <c r="A14" s="11" t="s">
        <v>185</v>
      </c>
      <c r="B14" s="12" t="n">
        <f aca="false">COUNTIF(Defects!C2:C30,A14)</f>
        <v>0</v>
      </c>
    </row>
    <row r="15" customFormat="false" ht="15" hidden="false" customHeight="false" outlineLevel="0" collapsed="false">
      <c r="A15" s="11" t="s">
        <v>128</v>
      </c>
      <c r="B15" s="12" t="n">
        <f aca="false">COUNTIF(Defects!C2:C30,A15)</f>
        <v>3</v>
      </c>
    </row>
    <row r="16" customFormat="false" ht="15" hidden="false" customHeight="false" outlineLevel="0" collapsed="false">
      <c r="A16" s="11" t="s">
        <v>138</v>
      </c>
      <c r="B16" s="12" t="n">
        <f aca="false">COUNTIF(Defects!C2:C30,A16)</f>
        <v>5</v>
      </c>
    </row>
    <row r="17" customFormat="false" ht="15" hidden="false" customHeight="false" outlineLevel="0" collapsed="false">
      <c r="A17" s="11" t="s">
        <v>134</v>
      </c>
      <c r="B17" s="12" t="n">
        <f aca="false">COUNTIF(Defects!C2:C30,A17)</f>
        <v>4</v>
      </c>
    </row>
    <row r="18" customFormat="false" ht="15" hidden="false" customHeight="false" outlineLevel="0" collapsed="false">
      <c r="A18" s="11" t="s">
        <v>150</v>
      </c>
      <c r="B18" s="12" t="n">
        <f aca="false">COUNTIF(Defects!C2:C30,A18)</f>
        <v>1</v>
      </c>
    </row>
    <row r="19" customFormat="false" ht="15" hidden="false" customHeight="false" outlineLevel="0" collapsed="false">
      <c r="A19" s="15" t="s">
        <v>186</v>
      </c>
      <c r="B19" s="12" t="n">
        <f aca="false">SUMPRODUCT(--(B13:B18&gt;0))</f>
        <v>4</v>
      </c>
    </row>
    <row r="20" customFormat="false" ht="15" hidden="false" customHeight="false" outlineLevel="0" collapsed="false">
      <c r="B20" s="13"/>
    </row>
    <row r="21" customFormat="false" ht="15" hidden="false" customHeight="false" outlineLevel="0" collapsed="false">
      <c r="A21" s="10" t="s">
        <v>187</v>
      </c>
      <c r="B21" s="14" t="s">
        <v>183</v>
      </c>
    </row>
    <row r="22" customFormat="false" ht="15" hidden="false" customHeight="false" outlineLevel="0" collapsed="false">
      <c r="A22" s="11" t="s">
        <v>188</v>
      </c>
      <c r="B22" s="12" t="n">
        <f aca="false">COUNTIF(Defects!D2:D30,A22)</f>
        <v>0</v>
      </c>
    </row>
    <row r="23" customFormat="false" ht="15" hidden="false" customHeight="false" outlineLevel="0" collapsed="false">
      <c r="A23" s="11" t="s">
        <v>189</v>
      </c>
      <c r="B23" s="12" t="n">
        <f aca="false">COUNTIF(Defects!D2:D30,A23)</f>
        <v>0</v>
      </c>
    </row>
    <row r="24" customFormat="false" ht="15" hidden="false" customHeight="false" outlineLevel="0" collapsed="false">
      <c r="A24" s="11" t="s">
        <v>129</v>
      </c>
      <c r="B24" s="12" t="n">
        <f aca="false">COUNTIF(Defects!D2:D30,A24)</f>
        <v>13</v>
      </c>
    </row>
    <row r="25" customFormat="false" ht="15" hidden="false" customHeight="false" outlineLevel="0" collapsed="false">
      <c r="B25" s="13"/>
    </row>
    <row r="26" customFormat="false" ht="15" hidden="false" customHeight="false" outlineLevel="0" collapsed="false">
      <c r="A26" s="10" t="s">
        <v>190</v>
      </c>
      <c r="B26" s="14" t="s">
        <v>109</v>
      </c>
      <c r="C26" s="10" t="s">
        <v>191</v>
      </c>
    </row>
    <row r="27" customFormat="false" ht="15" hidden="false" customHeight="false" outlineLevel="0" collapsed="false">
      <c r="A27" s="11" t="s">
        <v>192</v>
      </c>
      <c r="B27" s="12" t="n">
        <f aca="false">SUMPRODUCT(('Run 1'!F2:F32="failed")*('Run 1'!G2:G32=""))</f>
        <v>0</v>
      </c>
      <c r="C27" s="11" t="s">
        <v>193</v>
      </c>
    </row>
    <row r="28" customFormat="false" ht="15" hidden="false" customHeight="false" outlineLevel="0" collapsed="false">
      <c r="A28" s="11" t="s">
        <v>194</v>
      </c>
      <c r="B28" s="12" t="n">
        <f aca="false">SUMPRODUCT(LEN('Run 1'!G2:G32)-LEN(SUBSTITUTE('Run 1'!G2:G32,"BUG-","")))/4-SUMPRODUCT((Defects!A2:A30&lt;&gt;"")*COUNTIF('Run 1'!G2:G32,"*"&amp;Defects!A2:A30&amp;"*"))</f>
        <v>0</v>
      </c>
      <c r="C28" s="11" t="s">
        <v>193</v>
      </c>
    </row>
    <row r="29" customFormat="false" ht="15" hidden="false" customHeight="false" outlineLevel="0" collapsed="false">
      <c r="A29" s="11" t="s">
        <v>195</v>
      </c>
      <c r="B29" s="12" t="n">
        <f aca="false">SUMPRODUCT((Defects!A2:A30&lt;&gt;"")*(COUNTIF('Run 1'!G2:G32,"*"&amp;Defects!A2:A30&amp;"*")=0))</f>
        <v>0</v>
      </c>
      <c r="C29" s="11" t="s">
        <v>193</v>
      </c>
    </row>
    <row r="30" customFormat="false" ht="15" hidden="false" customHeight="false" outlineLevel="0" collapsed="false">
      <c r="A30" s="11" t="s">
        <v>196</v>
      </c>
      <c r="B30" s="12" t="n">
        <f aca="false">SUMPRODUCT(('Run 1'!F2:F32="blocked")*('Run 1'!H2:H32=""))</f>
        <v>0</v>
      </c>
      <c r="C30" s="11" t="s">
        <v>193</v>
      </c>
    </row>
    <row r="31" customFormat="false" ht="15" hidden="false" customHeight="false" outlineLevel="0" collapsed="false">
      <c r="A31" s="11" t="s">
        <v>197</v>
      </c>
      <c r="B31" s="12" t="n">
        <f aca="false">SUMPRODUCT(('Run 1'!F2:F32&lt;&gt;"")*(('Run 1'!C2:C32="")+('Run 1'!D2:D32="")&gt;0))</f>
        <v>0</v>
      </c>
      <c r="C31" s="11" t="s">
        <v>193</v>
      </c>
    </row>
    <row r="32" customFormat="false" ht="15" hidden="false" customHeight="false" outlineLevel="0" collapsed="false">
      <c r="B32" s="13"/>
    </row>
    <row r="33" customFormat="false" ht="15" hidden="false" customHeight="false" outlineLevel="0" collapsed="false">
      <c r="A33" s="10" t="s">
        <v>198</v>
      </c>
      <c r="B33" s="14" t="s">
        <v>199</v>
      </c>
      <c r="C33" s="10" t="s">
        <v>123</v>
      </c>
      <c r="D33" s="10" t="s">
        <v>200</v>
      </c>
    </row>
    <row r="34" customFormat="false" ht="15" hidden="false" customHeight="false" outlineLevel="0" collapsed="false">
      <c r="A34" s="11" t="s">
        <v>201</v>
      </c>
      <c r="B34" s="12" t="n">
        <f aca="false">B3</f>
        <v>31</v>
      </c>
      <c r="C34" s="11" t="n">
        <v>25</v>
      </c>
      <c r="D34" s="11" t="str">
        <f aca="false">IF(B34&gt;=C34,"виконано","бракує "&amp;(C34-B34))</f>
        <v>виконано</v>
      </c>
    </row>
    <row r="35" customFormat="false" ht="15" hidden="false" customHeight="false" outlineLevel="0" collapsed="false">
      <c r="A35" s="11" t="s">
        <v>202</v>
      </c>
      <c r="B35" s="12" t="n">
        <f aca="false">B10</f>
        <v>13</v>
      </c>
      <c r="C35" s="11" t="n">
        <v>10</v>
      </c>
      <c r="D35" s="11" t="str">
        <f aca="false">IF(B35&gt;=C35,"виконано","бракує "&amp;(C35-B35))</f>
        <v>виконано</v>
      </c>
    </row>
    <row r="36" customFormat="false" ht="15" hidden="false" customHeight="false" outlineLevel="0" collapsed="false">
      <c r="A36" s="11" t="s">
        <v>203</v>
      </c>
      <c r="B36" s="12" t="n">
        <f aca="false">B19</f>
        <v>4</v>
      </c>
      <c r="C36" s="11" t="n">
        <v>3</v>
      </c>
      <c r="D36" s="11" t="str">
        <f aca="false">IF(B36&gt;=C36,"виконано","бракує "&amp;(C36-B36))</f>
        <v>виконано</v>
      </c>
    </row>
    <row r="38" customFormat="false" ht="15" hidden="false" customHeight="false" outlineLevel="0" collapsed="false">
      <c r="A38" s="10" t="s">
        <v>204</v>
      </c>
    </row>
    <row r="39" customFormat="false" ht="42" hidden="false" customHeight="true" outlineLevel="0" collapsed="false">
      <c r="A39" s="16" t="s">
        <v>205</v>
      </c>
      <c r="B39" s="16"/>
      <c r="C39" s="16"/>
      <c r="D39" s="16"/>
    </row>
    <row r="40" customFormat="false" ht="42" hidden="false" customHeight="true" outlineLevel="0" collapsed="false">
      <c r="A40" s="16" t="s">
        <v>206</v>
      </c>
      <c r="B40" s="16"/>
      <c r="C40" s="16"/>
      <c r="D40" s="16"/>
    </row>
    <row r="41" customFormat="false" ht="42" hidden="false" customHeight="true" outlineLevel="0" collapsed="false">
      <c r="A41" s="16" t="s">
        <v>207</v>
      </c>
      <c r="B41" s="16"/>
      <c r="C41" s="16"/>
      <c r="D41" s="16"/>
    </row>
    <row r="42" customFormat="false" ht="42" hidden="false" customHeight="true" outlineLevel="0" collapsed="false">
      <c r="A42" s="16" t="s">
        <v>208</v>
      </c>
      <c r="B42" s="16"/>
      <c r="C42" s="16"/>
      <c r="D42" s="16"/>
    </row>
    <row r="43" customFormat="false" ht="42" hidden="false" customHeight="true" outlineLevel="0" collapsed="false">
      <c r="A43" s="16" t="s">
        <v>209</v>
      </c>
      <c r="B43" s="16"/>
      <c r="C43" s="16"/>
      <c r="D43" s="16"/>
    </row>
  </sheetData>
  <mergeCells count="6">
    <mergeCell ref="A1:D1"/>
    <mergeCell ref="A39:D39"/>
    <mergeCell ref="A40:D40"/>
    <mergeCell ref="A41:D41"/>
    <mergeCell ref="A42:D42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2026-10-28T12:07:20Z</dcterms:created>
  <dc:creator>openpyxl</dc:creator>
  <dc:description/>
  <dc:language>en-US</dc:language>
  <cp:lastModifiedBy/>
  <dcterms:modified xsi:type="dcterms:W3CDTF">2026-10-28T12:07:20Z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